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79e92d6864eff6/Desktop/"/>
    </mc:Choice>
  </mc:AlternateContent>
  <xr:revisionPtr revIDLastSave="6" documentId="8_{38592FFD-656C-402C-ACD3-72DBB0634F88}" xr6:coauthVersionLast="47" xr6:coauthVersionMax="47" xr10:uidLastSave="{8F801293-8D74-417F-9516-47325CA54465}"/>
  <bookViews>
    <workbookView xWindow="1050" yWindow="-120" windowWidth="19560" windowHeight="11760" xr2:uid="{CA287C51-758E-4308-9753-C19C7873B77D}"/>
  </bookViews>
  <sheets>
    <sheet name="TEAM PERFORMANCE" sheetId="2" r:id="rId1"/>
  </sheets>
  <definedNames>
    <definedName name="ExternalData_1" localSheetId="0" hidden="1">'TEAM PERFORMANCE'!$A$2:$I$50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D32974-0F62-4231-AFF5-B267E0CFCDB3}" keepAlive="1" name="Query - teams" description="Connection to the 'teams' query in the workbook." type="5" refreshedVersion="8" background="1" saveData="1">
    <dbPr connection="Provider=Microsoft.Mashup.OleDb.1;Data Source=$Workbook$;Location=teams;Extended Properties=&quot;&quot;" command="SELECT * FROM [teams]"/>
  </connection>
</connections>
</file>

<file path=xl/sharedStrings.xml><?xml version="1.0" encoding="utf-8"?>
<sst xmlns="http://schemas.openxmlformats.org/spreadsheetml/2006/main" count="69" uniqueCount="59">
  <si>
    <t>Algeria</t>
  </si>
  <si>
    <t>Argentina</t>
  </si>
  <si>
    <t>Australia</t>
  </si>
  <si>
    <t>Austria</t>
  </si>
  <si>
    <t>Belgium</t>
  </si>
  <si>
    <t>Bosnia and Herzegovina</t>
  </si>
  <si>
    <t>Brazil</t>
  </si>
  <si>
    <t>Cape Verde</t>
  </si>
  <si>
    <t>Canada</t>
  </si>
  <si>
    <t>Colombia</t>
  </si>
  <si>
    <t>Congo DR</t>
  </si>
  <si>
    <t>Croatia</t>
  </si>
  <si>
    <t>Czech Republic</t>
  </si>
  <si>
    <t>Ecuador</t>
  </si>
  <si>
    <t>Egypt</t>
  </si>
  <si>
    <t>England</t>
  </si>
  <si>
    <t>France</t>
  </si>
  <si>
    <t>Germany</t>
  </si>
  <si>
    <t>Ghana</t>
  </si>
  <si>
    <t>Haiti</t>
  </si>
  <si>
    <t>Iran</t>
  </si>
  <si>
    <t>Iraq</t>
  </si>
  <si>
    <t>Japan</t>
  </si>
  <si>
    <t>Jordan</t>
  </si>
  <si>
    <t>Korea Republic</t>
  </si>
  <si>
    <t>Mexico</t>
  </si>
  <si>
    <t>Morocco</t>
  </si>
  <si>
    <t>Netherlands</t>
  </si>
  <si>
    <t>New Zealand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</si>
  <si>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</si>
  <si>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</si>
  <si>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</si>
  <si>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</si>
  <si>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</si>
  <si>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</si>
  <si>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</si>
  <si>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</si>
  <si>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</si>
  <si>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Spain</t>
  </si>
  <si>
    <t>Sweden</t>
  </si>
  <si>
    <t>Switzerland</t>
  </si>
  <si>
    <t>Tunisia</t>
  </si>
  <si>
    <t>Turkey</t>
  </si>
  <si>
    <t>United States</t>
  </si>
  <si>
    <t>Uruguay</t>
  </si>
  <si>
    <t>Uzbekistan</t>
  </si>
  <si>
    <t>Team_Name</t>
  </si>
  <si>
    <t>Players_used</t>
  </si>
  <si>
    <t>Avg_age</t>
  </si>
  <si>
    <t>Possession-Avg%</t>
  </si>
  <si>
    <t>Games</t>
  </si>
  <si>
    <t>Total_Goals</t>
  </si>
  <si>
    <t>By Penalties</t>
  </si>
  <si>
    <t>Cards_yellow</t>
  </si>
  <si>
    <t>Cards_red</t>
  </si>
  <si>
    <t>Curaçao</t>
  </si>
  <si>
    <t>Côte d'Ivoire</t>
  </si>
  <si>
    <t>FIFA WORLD CUP TEAM PERFORMANCE IN GROUP STAGE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</si>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</sst>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3" fillId="33" borderId="11" xfId="0" applyFont="1" applyFill="1" applyBorder="1" applyAlignment="1">
      <alignment horizontal="center"/>
    </xf>
    <xf numFmtId="0" fontId="13" fillId="33" borderId="12" xfId="0" applyFont="1" applyFill="1" applyBorder="1" applyAlignment="1">
      <alignment horizontal="center"/>
    </xf>
    <xf numFmtId="0" fontId="0" fillId="34" borderId="0" xfId="0" applyFill="1" applyAlignment="1">
      <alignment horizontal="center" vertical="center"/>
    </xf>
    <xf numFmtId="0" fontId="13" fillId="35" borderId="10" xfId="0" applyFont="1" applyFill="1" applyBorder="1" applyAlignment="1">
      <alignment horizontal="center"/>
    </xf>
    <xf numFmtId="0" fontId="13" fillId="36" borderId="0" xfId="0" applyFont="1" applyFill="1" applyAlignment="1">
      <alignment horizontal="center" vertical="center"/>
    </xf>
    <xf numFmtId="0" fontId="17" fillId="37" borderId="0" xfId="0" applyFont="1" applyFill="1" applyAlignment="1">
      <alignment horizontal="center"/>
    </xf>
    <xf numFmtId="0" fontId="18" fillId="37" borderId="0" xfId="0" applyFont="1" applyFill="1" applyAlignment="1">
      <alignment horizontal="center"/>
    </xf>
    <xf numFmtId="0" fontId="17" fillId="37" borderId="0" xfId="0" applyFont="1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200024</xdr:colOff>
      <xdr:row>11</xdr:row>
      <xdr:rowOff>136071</xdr:rowOff>
    </xdr:from>
    <xdr:ext cx="2521403" cy="203060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C592BC-2B67-3AB3-391A-654352752CEB}"/>
            </a:ext>
          </a:extLst>
        </xdr:cNvPr>
        <xdr:cNvSpPr txBox="1"/>
      </xdr:nvSpPr>
      <xdr:spPr>
        <a:xfrm>
          <a:off x="8950464" y="2260879"/>
          <a:ext cx="2521403" cy="2030604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>
              <a:solidFill>
                <a:srgbClr val="C00000"/>
              </a:solidFill>
            </a:rPr>
            <a:t>I used VLOOKUP with Excel Tables to build a dynamic lookup. </a:t>
          </a:r>
        </a:p>
        <a:p>
          <a:r>
            <a:rPr lang="en-US" sz="1200" b="1">
              <a:solidFill>
                <a:srgbClr val="002060"/>
              </a:solidFill>
            </a:rPr>
            <a:t>Type a Team_Name in L2 → 8 stats auto-populate: Players_used, Avg_age, Possession%, Goals, Cards.</a:t>
          </a:r>
        </a:p>
        <a:p>
          <a:r>
            <a:rPr lang="en-US" sz="1200" b="1">
              <a:solidFill>
                <a:srgbClr val="002060"/>
              </a:solidFill>
            </a:rPr>
            <a:t>Formula: =VLOOKUP($L$2, teams[#All], ROWS($M$2:M2)+1, FALSE)</a:t>
          </a:r>
        </a:p>
        <a:p>
          <a:r>
            <a:rPr lang="en-US" sz="1200" b="1">
              <a:solidFill>
                <a:srgbClr val="002060"/>
              </a:solidFill>
            </a:rPr>
            <a:t>Example: Brazil → 22 Players, 30 Avg Age, 54% Possession, 7 Goals</a:t>
          </a:r>
        </a:p>
      </xdr:txBody>
    </xdr:sp>
    <xdr:clientData/>
  </xdr:oneCellAnchor>
  <xdr:twoCellAnchor>
    <xdr:from>
      <xdr:col>9</xdr:col>
      <xdr:colOff>743159</xdr:colOff>
      <xdr:row>2</xdr:row>
      <xdr:rowOff>94204</xdr:rowOff>
    </xdr:from>
    <xdr:to>
      <xdr:col>9</xdr:col>
      <xdr:colOff>753626</xdr:colOff>
      <xdr:row>10</xdr:row>
      <xdr:rowOff>177940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3C823F6-1B67-1612-E434-2A26044689A6}"/>
            </a:ext>
          </a:extLst>
        </xdr:cNvPr>
        <xdr:cNvCxnSpPr/>
      </xdr:nvCxnSpPr>
      <xdr:spPr>
        <a:xfrm>
          <a:off x="9493599" y="523352"/>
          <a:ext cx="10467" cy="1590989"/>
        </a:xfrm>
        <a:prstGeom prst="straightConnector1">
          <a:avLst/>
        </a:prstGeom>
        <a:ln w="38100" cap="flat" cmpd="sng" algn="ctr">
          <a:solidFill>
            <a:srgbClr val="C0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1FD82E-8EA3-4AA3-B0C4-D18B39280D75}" autoFormatId="16" applyNumberFormats="0" applyBorderFormats="0" applyFontFormats="0" applyPatternFormats="0" applyAlignmentFormats="0" applyWidthHeightFormats="0">
  <queryTableRefresh nextId="16" unboundColumnsRight="1">
    <queryTableFields count="10">
      <queryTableField id="1" name="Team_Name" tableColumnId="1"/>
      <queryTableField id="2" name="Players_used" tableColumnId="2"/>
      <queryTableField id="3" name="Avg_age" tableColumnId="3"/>
      <queryTableField id="4" name="Possession-Avg%" tableColumnId="4"/>
      <queryTableField id="5" name="Games" tableColumnId="5"/>
      <queryTableField id="8" name="Total_Goals" tableColumnId="8"/>
      <queryTableField id="11" name="By Penalties" tableColumnId="11"/>
      <queryTableField id="12" name="Cards_yellow" tableColumnId="12"/>
      <queryTableField id="13" name="Cards_red" tableColumnId="13"/>
      <queryTableField id="15" dataBound="0" tableColumnId="16"/>
    </queryTableFields>
    <queryTableDeletedFields count="4">
      <deletedField name="Games_started"/>
      <deletedField name="Minutes"/>
      <deletedField name="Assists"/>
      <deletedField name="Goals_assis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41FF0D-BA86-48C3-81DE-B2F2DF664598}" name="teams" displayName="teams" ref="A2:J50" tableType="queryTable" totalsRowShown="0">
  <autoFilter ref="A2:J50" xr:uid="{7041FF0D-BA86-48C3-81DE-B2F2DF664598}"/>
  <tableColumns count="10">
    <tableColumn id="1" xr3:uid="{0006B448-A236-4B4A-9DD4-723648DE3E45}" uniqueName="1" name="Team_Name" queryTableFieldId="1" dataDxfId="0"/>
    <tableColumn id="2" xr3:uid="{09B23BFE-7A60-419D-8905-63320623539C}" uniqueName="2" name="Players_used" queryTableFieldId="2"/>
    <tableColumn id="3" xr3:uid="{5C6D41D2-9B05-4CF5-B041-26708DB6B5BF}" uniqueName="3" name="Avg_age" queryTableFieldId="3"/>
    <tableColumn id="4" xr3:uid="{ACF6F43A-D800-4B3C-AA3F-1304FD3062FA}" uniqueName="4" name="Possession-Avg%" queryTableFieldId="4"/>
    <tableColumn id="5" xr3:uid="{8F8CD142-DDCF-4739-B544-694099FBBFF6}" uniqueName="5" name="Games" queryTableFieldId="5"/>
    <tableColumn id="8" xr3:uid="{31271EA9-93FE-4A2F-8C6C-B703A3A12A08}" uniqueName="8" name="Total_Goals" queryTableFieldId="8"/>
    <tableColumn id="11" xr3:uid="{E65CDC04-95BE-448A-BDE5-E4EC3205D885}" uniqueName="11" name="By Penalties" queryTableFieldId="11"/>
    <tableColumn id="12" xr3:uid="{9C1EBD65-BDE6-470D-9B11-D4DDB20A814A}" uniqueName="12" name="Cards_yellow" queryTableFieldId="12"/>
    <tableColumn id="13" xr3:uid="{99698FEE-40EE-4A1D-ABDE-895E014B3A65}" uniqueName="13" name="Cards_red" queryTableFieldId="13"/>
    <tableColumn id="16" xr3:uid="{64C1FF14-2255-4E01-8553-FAD04647A056}" uniqueName="16" name="1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E2B5-58EF-4660-85FA-E82752A1DC08}">
  <dimension ref="A1:L50"/>
  <sheetViews>
    <sheetView tabSelected="1" zoomScale="85" zoomScaleNormal="85" workbookViewId="0">
      <selection activeCell="N12" sqref="N12"/>
    </sheetView>
  </sheetViews>
  <sheetFormatPr defaultRowHeight="15" x14ac:dyDescent="0.25"/>
  <cols>
    <col min="1" max="1" width="22.42578125" bestFit="1" customWidth="1"/>
    <col min="2" max="2" width="15" bestFit="1" customWidth="1"/>
    <col min="3" max="3" width="10.7109375" bestFit="1" customWidth="1"/>
    <col min="4" max="4" width="18.7109375" bestFit="1" customWidth="1"/>
    <col min="5" max="5" width="9.42578125" bestFit="1" customWidth="1"/>
    <col min="6" max="6" width="13.7109375" bestFit="1" customWidth="1"/>
    <col min="7" max="7" width="14.140625" bestFit="1" customWidth="1"/>
    <col min="8" max="8" width="15.140625" bestFit="1" customWidth="1"/>
    <col min="9" max="9" width="12.140625" bestFit="1" customWidth="1"/>
    <col min="10" max="10" width="12.140625" customWidth="1"/>
    <col min="11" max="11" width="16.42578125" style="1" bestFit="1" customWidth="1"/>
    <col min="12" max="12" width="9.140625" style="2"/>
  </cols>
  <sheetData>
    <row r="1" spans="1:12" ht="18.75" x14ac:dyDescent="0.3">
      <c r="A1" s="8"/>
      <c r="B1" s="8"/>
      <c r="C1" s="8"/>
      <c r="D1" s="9" t="s">
        <v>57</v>
      </c>
      <c r="E1" s="8"/>
      <c r="F1" s="8"/>
      <c r="G1" s="10"/>
      <c r="H1" s="11"/>
      <c r="I1" s="11"/>
      <c r="J1" s="11"/>
    </row>
    <row r="2" spans="1:12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58</v>
      </c>
      <c r="K2" s="6" t="s">
        <v>46</v>
      </c>
      <c r="L2" s="7" t="s">
        <v>6</v>
      </c>
    </row>
    <row r="3" spans="1:12" x14ac:dyDescent="0.25">
      <c r="A3" t="s">
        <v>0</v>
      </c>
      <c r="B3">
        <v>19</v>
      </c>
      <c r="C3">
        <v>27</v>
      </c>
      <c r="D3">
        <v>62</v>
      </c>
      <c r="E3">
        <v>3</v>
      </c>
      <c r="F3">
        <v>3</v>
      </c>
      <c r="G3">
        <v>0</v>
      </c>
      <c r="H3">
        <v>1</v>
      </c>
      <c r="I3">
        <v>0</v>
      </c>
      <c r="J3">
        <v>2</v>
      </c>
      <c r="K3" s="3" t="s">
        <v>47</v>
      </c>
      <c r="L3" s="5">
        <f>VLOOKUP($L$2,teams[[#All],[Team_Name]:[Cards_red]],teams[[#This Row],[1]],0)</f>
        <v>22</v>
      </c>
    </row>
    <row r="4" spans="1:12" x14ac:dyDescent="0.25">
      <c r="A4" t="s">
        <v>1</v>
      </c>
      <c r="B4">
        <v>18</v>
      </c>
      <c r="C4">
        <v>30</v>
      </c>
      <c r="D4">
        <v>51</v>
      </c>
      <c r="E4">
        <v>3</v>
      </c>
      <c r="F4">
        <v>5</v>
      </c>
      <c r="G4">
        <v>1</v>
      </c>
      <c r="H4">
        <v>2</v>
      </c>
      <c r="I4">
        <v>0</v>
      </c>
      <c r="J4">
        <v>3</v>
      </c>
      <c r="K4" s="3" t="s">
        <v>48</v>
      </c>
      <c r="L4" s="5">
        <f>VLOOKUP($L$2,teams[[#All],[Team_Name]:[Cards_red]],teams[[#This Row],[1]],0)</f>
        <v>30</v>
      </c>
    </row>
    <row r="5" spans="1:12" x14ac:dyDescent="0.25">
      <c r="A5" t="s">
        <v>2</v>
      </c>
      <c r="B5">
        <v>18</v>
      </c>
      <c r="C5">
        <v>26</v>
      </c>
      <c r="D5">
        <v>33</v>
      </c>
      <c r="E5">
        <v>3</v>
      </c>
      <c r="F5">
        <v>3</v>
      </c>
      <c r="G5">
        <v>0</v>
      </c>
      <c r="H5">
        <v>4</v>
      </c>
      <c r="I5">
        <v>0</v>
      </c>
      <c r="J5">
        <v>4</v>
      </c>
      <c r="K5" s="3" t="s">
        <v>49</v>
      </c>
      <c r="L5" s="5">
        <f>VLOOKUP($L$2,teams[[#All],[Team_Name]:[Cards_red]],teams[[#This Row],[1]],0)</f>
        <v>54</v>
      </c>
    </row>
    <row r="6" spans="1:12" x14ac:dyDescent="0.25">
      <c r="A6" t="s">
        <v>3</v>
      </c>
      <c r="B6">
        <v>19</v>
      </c>
      <c r="C6">
        <v>29</v>
      </c>
      <c r="D6">
        <v>54</v>
      </c>
      <c r="E6">
        <v>3</v>
      </c>
      <c r="F6">
        <v>3</v>
      </c>
      <c r="G6">
        <v>1</v>
      </c>
      <c r="H6">
        <v>3</v>
      </c>
      <c r="I6">
        <v>0</v>
      </c>
      <c r="J6">
        <v>5</v>
      </c>
      <c r="K6" s="3" t="s">
        <v>50</v>
      </c>
      <c r="L6" s="5">
        <f>VLOOKUP($L$2,teams[[#All],[Team_Name]:[Cards_red]],teams[[#This Row],[1]],0)</f>
        <v>3</v>
      </c>
    </row>
    <row r="7" spans="1:12" x14ac:dyDescent="0.25">
      <c r="A7" t="s">
        <v>4</v>
      </c>
      <c r="B7">
        <v>19</v>
      </c>
      <c r="C7">
        <v>30</v>
      </c>
      <c r="D7">
        <v>62</v>
      </c>
      <c r="E7">
        <v>3</v>
      </c>
      <c r="F7">
        <v>1</v>
      </c>
      <c r="G7">
        <v>0</v>
      </c>
      <c r="H7">
        <v>3</v>
      </c>
      <c r="I7">
        <v>1</v>
      </c>
      <c r="J7">
        <v>6</v>
      </c>
      <c r="K7" s="3" t="s">
        <v>51</v>
      </c>
      <c r="L7" s="5">
        <f>VLOOKUP($L$2,teams[[#All],[Team_Name]:[Cards_red]],teams[[#This Row],[1]],0)</f>
        <v>7</v>
      </c>
    </row>
    <row r="8" spans="1:12" x14ac:dyDescent="0.25">
      <c r="A8" t="s">
        <v>5</v>
      </c>
      <c r="B8">
        <v>22</v>
      </c>
      <c r="C8">
        <v>27</v>
      </c>
      <c r="D8">
        <v>44</v>
      </c>
      <c r="E8">
        <v>3</v>
      </c>
      <c r="F8">
        <v>5</v>
      </c>
      <c r="G8">
        <v>0</v>
      </c>
      <c r="H8">
        <v>6</v>
      </c>
      <c r="I8">
        <v>1</v>
      </c>
      <c r="J8">
        <v>7</v>
      </c>
      <c r="K8" s="3" t="s">
        <v>52</v>
      </c>
      <c r="L8" s="5">
        <f>VLOOKUP($L$2,teams[[#All],[Team_Name]:[Cards_red]],teams[[#This Row],[1]],0)</f>
        <v>0</v>
      </c>
    </row>
    <row r="9" spans="1:12" x14ac:dyDescent="0.25">
      <c r="A9" t="s">
        <v>6</v>
      </c>
      <c r="B9">
        <v>22</v>
      </c>
      <c r="C9">
        <v>30</v>
      </c>
      <c r="D9">
        <v>54</v>
      </c>
      <c r="E9">
        <v>3</v>
      </c>
      <c r="F9">
        <v>7</v>
      </c>
      <c r="G9">
        <v>0</v>
      </c>
      <c r="H9">
        <v>5</v>
      </c>
      <c r="I9">
        <v>0</v>
      </c>
      <c r="J9">
        <v>8</v>
      </c>
      <c r="K9" s="3" t="s">
        <v>53</v>
      </c>
      <c r="L9" s="5">
        <f>VLOOKUP($L$2,teams[[#All],[Team_Name]:[Cards_red]],teams[[#This Row],[1]],0)</f>
        <v>5</v>
      </c>
    </row>
    <row r="10" spans="1:12" x14ac:dyDescent="0.25">
      <c r="A10" t="s">
        <v>7</v>
      </c>
      <c r="B10">
        <v>20</v>
      </c>
      <c r="C10">
        <v>31</v>
      </c>
      <c r="D10">
        <v>30</v>
      </c>
      <c r="E10">
        <v>3</v>
      </c>
      <c r="F10">
        <v>3</v>
      </c>
      <c r="G10">
        <v>0</v>
      </c>
      <c r="H10">
        <v>3</v>
      </c>
      <c r="I10">
        <v>0</v>
      </c>
      <c r="J10">
        <v>9</v>
      </c>
      <c r="K10" s="4" t="s">
        <v>54</v>
      </c>
      <c r="L10" s="5">
        <f>VLOOKUP($L$2,teams[[#All],[Team_Name]:[Cards_red]],teams[[#This Row],[1]],0)</f>
        <v>0</v>
      </c>
    </row>
    <row r="11" spans="1:12" x14ac:dyDescent="0.25">
      <c r="A11" t="s">
        <v>8</v>
      </c>
      <c r="B11">
        <v>20</v>
      </c>
      <c r="C11">
        <v>27</v>
      </c>
      <c r="D11">
        <v>62</v>
      </c>
      <c r="E11">
        <v>3</v>
      </c>
      <c r="F11">
        <v>7</v>
      </c>
      <c r="G11">
        <v>0</v>
      </c>
      <c r="H11">
        <v>5</v>
      </c>
      <c r="I11">
        <v>0</v>
      </c>
    </row>
    <row r="12" spans="1:12" x14ac:dyDescent="0.25">
      <c r="A12" t="s">
        <v>9</v>
      </c>
      <c r="B12">
        <v>18</v>
      </c>
      <c r="C12">
        <v>30</v>
      </c>
      <c r="D12">
        <v>63</v>
      </c>
      <c r="E12">
        <v>3</v>
      </c>
      <c r="F12">
        <v>5</v>
      </c>
      <c r="G12">
        <v>0</v>
      </c>
      <c r="H12">
        <v>3</v>
      </c>
      <c r="I12">
        <v>0</v>
      </c>
    </row>
    <row r="13" spans="1:12" x14ac:dyDescent="0.25">
      <c r="A13" t="s">
        <v>10</v>
      </c>
      <c r="B13">
        <v>17</v>
      </c>
      <c r="C13">
        <v>30</v>
      </c>
      <c r="D13">
        <v>31</v>
      </c>
      <c r="E13">
        <v>3</v>
      </c>
      <c r="F13">
        <v>2</v>
      </c>
      <c r="G13">
        <v>0</v>
      </c>
      <c r="H13">
        <v>2</v>
      </c>
      <c r="I13">
        <v>0</v>
      </c>
    </row>
    <row r="14" spans="1:12" x14ac:dyDescent="0.25">
      <c r="A14" t="s">
        <v>11</v>
      </c>
      <c r="B14">
        <v>19</v>
      </c>
      <c r="C14">
        <v>29</v>
      </c>
      <c r="D14">
        <v>53</v>
      </c>
      <c r="E14">
        <v>3</v>
      </c>
      <c r="F14">
        <v>3</v>
      </c>
      <c r="G14">
        <v>0</v>
      </c>
      <c r="H14">
        <v>1</v>
      </c>
      <c r="I14">
        <v>0</v>
      </c>
    </row>
    <row r="15" spans="1:12" x14ac:dyDescent="0.25">
      <c r="A15" t="s">
        <v>55</v>
      </c>
      <c r="B15">
        <v>19</v>
      </c>
      <c r="C15">
        <v>29</v>
      </c>
      <c r="D15">
        <v>30</v>
      </c>
      <c r="E15">
        <v>3</v>
      </c>
      <c r="F15">
        <v>2</v>
      </c>
      <c r="G15">
        <v>0</v>
      </c>
      <c r="H15">
        <v>5</v>
      </c>
      <c r="I15">
        <v>0</v>
      </c>
    </row>
    <row r="16" spans="1:12" x14ac:dyDescent="0.25">
      <c r="A16" t="s">
        <v>12</v>
      </c>
      <c r="B16">
        <v>21</v>
      </c>
      <c r="C16">
        <v>28</v>
      </c>
      <c r="D16">
        <v>43</v>
      </c>
      <c r="E16">
        <v>3</v>
      </c>
      <c r="F16">
        <v>3</v>
      </c>
      <c r="G16">
        <v>0</v>
      </c>
      <c r="H16">
        <v>1</v>
      </c>
      <c r="I16">
        <v>0</v>
      </c>
    </row>
    <row r="17" spans="1:9" x14ac:dyDescent="0.25">
      <c r="A17" t="s">
        <v>56</v>
      </c>
      <c r="B17">
        <v>18</v>
      </c>
      <c r="C17">
        <v>26</v>
      </c>
      <c r="D17">
        <v>44</v>
      </c>
      <c r="E17">
        <v>3</v>
      </c>
      <c r="F17">
        <v>3</v>
      </c>
      <c r="G17">
        <v>0</v>
      </c>
      <c r="H17">
        <v>3</v>
      </c>
      <c r="I17">
        <v>0</v>
      </c>
    </row>
    <row r="18" spans="1:9" x14ac:dyDescent="0.25">
      <c r="A18" t="s">
        <v>13</v>
      </c>
      <c r="B18">
        <v>18</v>
      </c>
      <c r="C18">
        <v>28</v>
      </c>
      <c r="D18">
        <v>64</v>
      </c>
      <c r="E18">
        <v>3</v>
      </c>
      <c r="F18">
        <v>1</v>
      </c>
      <c r="G18">
        <v>0</v>
      </c>
      <c r="H18">
        <v>2</v>
      </c>
      <c r="I18">
        <v>0</v>
      </c>
    </row>
    <row r="19" spans="1:9" x14ac:dyDescent="0.25">
      <c r="A19" t="s">
        <v>14</v>
      </c>
      <c r="B19">
        <v>19</v>
      </c>
      <c r="C19">
        <v>30</v>
      </c>
      <c r="D19">
        <v>51</v>
      </c>
      <c r="E19">
        <v>3</v>
      </c>
      <c r="F19">
        <v>5</v>
      </c>
      <c r="G19">
        <v>0</v>
      </c>
      <c r="H19">
        <v>3</v>
      </c>
      <c r="I19">
        <v>0</v>
      </c>
    </row>
    <row r="20" spans="1:9" x14ac:dyDescent="0.25">
      <c r="A20" t="s">
        <v>15</v>
      </c>
      <c r="B20">
        <v>17</v>
      </c>
      <c r="C20">
        <v>27</v>
      </c>
      <c r="D20">
        <v>66</v>
      </c>
      <c r="E20">
        <v>3</v>
      </c>
      <c r="F20">
        <v>5</v>
      </c>
      <c r="G20">
        <v>1</v>
      </c>
      <c r="H20">
        <v>1</v>
      </c>
      <c r="I20">
        <v>0</v>
      </c>
    </row>
    <row r="21" spans="1:9" x14ac:dyDescent="0.25">
      <c r="A21" t="s">
        <v>16</v>
      </c>
      <c r="B21">
        <v>18</v>
      </c>
      <c r="C21">
        <v>27</v>
      </c>
      <c r="D21">
        <v>55</v>
      </c>
      <c r="E21">
        <v>3</v>
      </c>
      <c r="F21">
        <v>6</v>
      </c>
      <c r="G21">
        <v>0</v>
      </c>
      <c r="H21">
        <v>0</v>
      </c>
      <c r="I21">
        <v>0</v>
      </c>
    </row>
    <row r="22" spans="1:9" x14ac:dyDescent="0.25">
      <c r="A22" t="s">
        <v>17</v>
      </c>
      <c r="B22">
        <v>18</v>
      </c>
      <c r="C22">
        <v>28</v>
      </c>
      <c r="D22">
        <v>62</v>
      </c>
      <c r="E22">
        <v>3</v>
      </c>
      <c r="F22">
        <v>9</v>
      </c>
      <c r="G22">
        <v>1</v>
      </c>
      <c r="H22">
        <v>0</v>
      </c>
      <c r="I22">
        <v>0</v>
      </c>
    </row>
    <row r="23" spans="1:9" x14ac:dyDescent="0.25">
      <c r="A23" t="s">
        <v>18</v>
      </c>
      <c r="B23">
        <v>20</v>
      </c>
      <c r="C23">
        <v>27</v>
      </c>
      <c r="D23">
        <v>30</v>
      </c>
      <c r="E23">
        <v>3</v>
      </c>
      <c r="F23">
        <v>2</v>
      </c>
      <c r="G23">
        <v>0</v>
      </c>
      <c r="H23">
        <v>2</v>
      </c>
      <c r="I23">
        <v>0</v>
      </c>
    </row>
    <row r="24" spans="1:9" x14ac:dyDescent="0.25">
      <c r="A24" t="s">
        <v>19</v>
      </c>
      <c r="B24">
        <v>18</v>
      </c>
      <c r="C24">
        <v>29</v>
      </c>
      <c r="D24">
        <v>43</v>
      </c>
      <c r="E24">
        <v>3</v>
      </c>
      <c r="F24">
        <v>2</v>
      </c>
      <c r="G24">
        <v>0</v>
      </c>
      <c r="H24">
        <v>7</v>
      </c>
      <c r="I24">
        <v>0</v>
      </c>
    </row>
    <row r="25" spans="1:9" x14ac:dyDescent="0.25">
      <c r="A25" t="s">
        <v>20</v>
      </c>
      <c r="B25">
        <v>19</v>
      </c>
      <c r="C25">
        <v>32</v>
      </c>
      <c r="D25">
        <v>39</v>
      </c>
      <c r="E25">
        <v>3</v>
      </c>
      <c r="F25">
        <v>3</v>
      </c>
      <c r="G25">
        <v>0</v>
      </c>
      <c r="H25">
        <v>2</v>
      </c>
      <c r="I25">
        <v>0</v>
      </c>
    </row>
    <row r="26" spans="1:9" x14ac:dyDescent="0.25">
      <c r="A26" t="s">
        <v>21</v>
      </c>
      <c r="B26">
        <v>20</v>
      </c>
      <c r="C26">
        <v>26</v>
      </c>
      <c r="D26">
        <v>42</v>
      </c>
      <c r="E26">
        <v>3</v>
      </c>
      <c r="F26">
        <v>2</v>
      </c>
      <c r="G26">
        <v>0</v>
      </c>
      <c r="H26">
        <v>2</v>
      </c>
      <c r="I26">
        <v>0</v>
      </c>
    </row>
    <row r="27" spans="1:9" x14ac:dyDescent="0.25">
      <c r="A27" t="s">
        <v>22</v>
      </c>
      <c r="B27">
        <v>22</v>
      </c>
      <c r="C27">
        <v>28</v>
      </c>
      <c r="D27">
        <v>51</v>
      </c>
      <c r="E27">
        <v>3</v>
      </c>
      <c r="F27">
        <v>6</v>
      </c>
      <c r="G27">
        <v>0</v>
      </c>
      <c r="H27">
        <v>0</v>
      </c>
      <c r="I27">
        <v>0</v>
      </c>
    </row>
    <row r="28" spans="1:9" x14ac:dyDescent="0.25">
      <c r="A28" t="s">
        <v>23</v>
      </c>
      <c r="B28">
        <v>19</v>
      </c>
      <c r="C28">
        <v>29</v>
      </c>
      <c r="D28">
        <v>32</v>
      </c>
      <c r="E28">
        <v>3</v>
      </c>
      <c r="F28">
        <v>3</v>
      </c>
      <c r="G28">
        <v>0</v>
      </c>
      <c r="H28">
        <v>1</v>
      </c>
      <c r="I28">
        <v>0</v>
      </c>
    </row>
    <row r="29" spans="1:9" x14ac:dyDescent="0.25">
      <c r="A29" t="s">
        <v>24</v>
      </c>
      <c r="B29">
        <v>20</v>
      </c>
      <c r="C29">
        <v>29</v>
      </c>
      <c r="D29">
        <v>63</v>
      </c>
      <c r="E29">
        <v>3</v>
      </c>
      <c r="F29">
        <v>3</v>
      </c>
      <c r="G29">
        <v>0</v>
      </c>
      <c r="H29">
        <v>4</v>
      </c>
      <c r="I29">
        <v>0</v>
      </c>
    </row>
    <row r="30" spans="1:9" x14ac:dyDescent="0.25">
      <c r="A30" t="s">
        <v>25</v>
      </c>
      <c r="B30">
        <v>25</v>
      </c>
      <c r="C30">
        <v>28</v>
      </c>
      <c r="D30">
        <v>50</v>
      </c>
      <c r="E30">
        <v>3</v>
      </c>
      <c r="F30">
        <v>6</v>
      </c>
      <c r="G30">
        <v>0</v>
      </c>
      <c r="H30">
        <v>2</v>
      </c>
      <c r="I30">
        <v>1</v>
      </c>
    </row>
    <row r="31" spans="1:9" x14ac:dyDescent="0.25">
      <c r="A31" t="s">
        <v>26</v>
      </c>
      <c r="B31">
        <v>20</v>
      </c>
      <c r="C31">
        <v>26</v>
      </c>
      <c r="D31">
        <v>59</v>
      </c>
      <c r="E31">
        <v>3</v>
      </c>
      <c r="F31">
        <v>6</v>
      </c>
      <c r="G31">
        <v>0</v>
      </c>
      <c r="H31">
        <v>1</v>
      </c>
      <c r="I31">
        <v>0</v>
      </c>
    </row>
    <row r="32" spans="1:9" x14ac:dyDescent="0.25">
      <c r="A32" t="s">
        <v>27</v>
      </c>
      <c r="B32">
        <v>18</v>
      </c>
      <c r="C32">
        <v>27</v>
      </c>
      <c r="D32">
        <v>56</v>
      </c>
      <c r="E32">
        <v>3</v>
      </c>
      <c r="F32">
        <v>7</v>
      </c>
      <c r="G32">
        <v>0</v>
      </c>
      <c r="H32">
        <v>3</v>
      </c>
      <c r="I32">
        <v>0</v>
      </c>
    </row>
    <row r="33" spans="1:9" x14ac:dyDescent="0.25">
      <c r="A33" t="s">
        <v>28</v>
      </c>
      <c r="B33">
        <v>17</v>
      </c>
      <c r="C33">
        <v>29</v>
      </c>
      <c r="D33">
        <v>48</v>
      </c>
      <c r="E33">
        <v>3</v>
      </c>
      <c r="F33">
        <v>3</v>
      </c>
      <c r="G33">
        <v>0</v>
      </c>
      <c r="H33">
        <v>2</v>
      </c>
      <c r="I33">
        <v>0</v>
      </c>
    </row>
    <row r="34" spans="1:9" x14ac:dyDescent="0.25">
      <c r="A34" t="s">
        <v>29</v>
      </c>
      <c r="B34">
        <v>17</v>
      </c>
      <c r="C34">
        <v>28</v>
      </c>
      <c r="D34">
        <v>52</v>
      </c>
      <c r="E34">
        <v>3</v>
      </c>
      <c r="F34">
        <v>6</v>
      </c>
      <c r="G34">
        <v>0</v>
      </c>
      <c r="H34">
        <v>0</v>
      </c>
      <c r="I34">
        <v>0</v>
      </c>
    </row>
    <row r="35" spans="1:9" x14ac:dyDescent="0.25">
      <c r="A35" t="s">
        <v>30</v>
      </c>
      <c r="B35">
        <v>17</v>
      </c>
      <c r="C35">
        <v>29</v>
      </c>
      <c r="D35">
        <v>52</v>
      </c>
      <c r="E35">
        <v>3</v>
      </c>
      <c r="F35">
        <v>1</v>
      </c>
      <c r="G35">
        <v>0</v>
      </c>
      <c r="H35">
        <v>3</v>
      </c>
      <c r="I35">
        <v>0</v>
      </c>
    </row>
    <row r="36" spans="1:9" x14ac:dyDescent="0.25">
      <c r="A36" t="s">
        <v>31</v>
      </c>
      <c r="B36">
        <v>21</v>
      </c>
      <c r="C36">
        <v>28</v>
      </c>
      <c r="D36">
        <v>28</v>
      </c>
      <c r="E36">
        <v>3</v>
      </c>
      <c r="F36">
        <v>3</v>
      </c>
      <c r="G36">
        <v>0</v>
      </c>
      <c r="H36">
        <v>6</v>
      </c>
      <c r="I36">
        <v>1</v>
      </c>
    </row>
    <row r="37" spans="1:9" x14ac:dyDescent="0.25">
      <c r="A37" t="s">
        <v>32</v>
      </c>
      <c r="B37">
        <v>18</v>
      </c>
      <c r="C37">
        <v>28</v>
      </c>
      <c r="D37">
        <v>70</v>
      </c>
      <c r="E37">
        <v>3</v>
      </c>
      <c r="F37">
        <v>5</v>
      </c>
      <c r="G37">
        <v>0</v>
      </c>
      <c r="H37">
        <v>4</v>
      </c>
      <c r="I37">
        <v>0</v>
      </c>
    </row>
    <row r="38" spans="1:9" x14ac:dyDescent="0.25">
      <c r="A38" t="s">
        <v>33</v>
      </c>
      <c r="B38">
        <v>22</v>
      </c>
      <c r="C38">
        <v>30</v>
      </c>
      <c r="D38">
        <v>33</v>
      </c>
      <c r="E38">
        <v>3</v>
      </c>
      <c r="F38">
        <v>3</v>
      </c>
      <c r="G38">
        <v>0</v>
      </c>
      <c r="H38">
        <v>4</v>
      </c>
      <c r="I38">
        <v>2</v>
      </c>
    </row>
    <row r="39" spans="1:9" x14ac:dyDescent="0.25">
      <c r="A39" t="s">
        <v>34</v>
      </c>
      <c r="B39">
        <v>17</v>
      </c>
      <c r="C39">
        <v>29</v>
      </c>
      <c r="D39">
        <v>33</v>
      </c>
      <c r="E39">
        <v>3</v>
      </c>
      <c r="F39">
        <v>2</v>
      </c>
      <c r="G39">
        <v>0</v>
      </c>
      <c r="H39">
        <v>3</v>
      </c>
      <c r="I39">
        <v>0</v>
      </c>
    </row>
    <row r="40" spans="1:9" x14ac:dyDescent="0.25">
      <c r="A40" t="s">
        <v>35</v>
      </c>
      <c r="B40">
        <v>20</v>
      </c>
      <c r="C40">
        <v>30</v>
      </c>
      <c r="D40">
        <v>44</v>
      </c>
      <c r="E40">
        <v>3</v>
      </c>
      <c r="F40">
        <v>2</v>
      </c>
      <c r="G40">
        <v>0</v>
      </c>
      <c r="H40">
        <v>5</v>
      </c>
      <c r="I40">
        <v>0</v>
      </c>
    </row>
    <row r="41" spans="1:9" x14ac:dyDescent="0.25">
      <c r="A41" t="s">
        <v>36</v>
      </c>
      <c r="B41">
        <v>19</v>
      </c>
      <c r="C41">
        <v>29</v>
      </c>
      <c r="D41">
        <v>52</v>
      </c>
      <c r="E41">
        <v>3</v>
      </c>
      <c r="F41">
        <v>3</v>
      </c>
      <c r="G41">
        <v>0</v>
      </c>
      <c r="H41">
        <v>0</v>
      </c>
      <c r="I41">
        <v>0</v>
      </c>
    </row>
    <row r="42" spans="1:9" x14ac:dyDescent="0.25">
      <c r="A42" t="s">
        <v>37</v>
      </c>
      <c r="B42">
        <v>19</v>
      </c>
      <c r="C42">
        <v>27</v>
      </c>
      <c r="D42">
        <v>45</v>
      </c>
      <c r="E42">
        <v>3</v>
      </c>
      <c r="F42">
        <v>3</v>
      </c>
      <c r="G42">
        <v>1</v>
      </c>
      <c r="H42">
        <v>5</v>
      </c>
      <c r="I42">
        <v>2</v>
      </c>
    </row>
    <row r="43" spans="1:9" x14ac:dyDescent="0.25">
      <c r="A43" t="s">
        <v>38</v>
      </c>
      <c r="B43">
        <v>18</v>
      </c>
      <c r="C43">
        <v>27</v>
      </c>
      <c r="D43">
        <v>70</v>
      </c>
      <c r="E43">
        <v>3</v>
      </c>
      <c r="F43">
        <v>3</v>
      </c>
      <c r="G43">
        <v>0</v>
      </c>
      <c r="H43">
        <v>1</v>
      </c>
      <c r="I43">
        <v>0</v>
      </c>
    </row>
    <row r="44" spans="1:9" x14ac:dyDescent="0.25">
      <c r="A44" t="s">
        <v>39</v>
      </c>
      <c r="B44">
        <v>18</v>
      </c>
      <c r="C44">
        <v>28</v>
      </c>
      <c r="D44">
        <v>49</v>
      </c>
      <c r="E44">
        <v>3</v>
      </c>
      <c r="F44">
        <v>6</v>
      </c>
      <c r="G44">
        <v>0</v>
      </c>
      <c r="H44">
        <v>3</v>
      </c>
      <c r="I44">
        <v>0</v>
      </c>
    </row>
    <row r="45" spans="1:9" x14ac:dyDescent="0.25">
      <c r="A45" t="s">
        <v>40</v>
      </c>
      <c r="B45">
        <v>21</v>
      </c>
      <c r="C45">
        <v>30</v>
      </c>
      <c r="D45">
        <v>62</v>
      </c>
      <c r="E45">
        <v>3</v>
      </c>
      <c r="F45">
        <v>7</v>
      </c>
      <c r="G45">
        <v>2</v>
      </c>
      <c r="H45">
        <v>3</v>
      </c>
      <c r="I45">
        <v>0</v>
      </c>
    </row>
    <row r="46" spans="1:9" x14ac:dyDescent="0.25">
      <c r="A46" t="s">
        <v>41</v>
      </c>
      <c r="B46">
        <v>18</v>
      </c>
      <c r="C46">
        <v>28</v>
      </c>
      <c r="D46">
        <v>44</v>
      </c>
      <c r="E46">
        <v>3</v>
      </c>
      <c r="F46">
        <v>2</v>
      </c>
      <c r="G46">
        <v>0</v>
      </c>
      <c r="H46">
        <v>1</v>
      </c>
      <c r="I46">
        <v>0</v>
      </c>
    </row>
    <row r="47" spans="1:9" x14ac:dyDescent="0.25">
      <c r="A47" t="s">
        <v>42</v>
      </c>
      <c r="B47">
        <v>18</v>
      </c>
      <c r="C47">
        <v>27</v>
      </c>
      <c r="D47">
        <v>76</v>
      </c>
      <c r="E47">
        <v>3</v>
      </c>
      <c r="F47">
        <v>1</v>
      </c>
      <c r="G47">
        <v>0</v>
      </c>
      <c r="H47">
        <v>2</v>
      </c>
      <c r="I47">
        <v>0</v>
      </c>
    </row>
    <row r="48" spans="1:9" x14ac:dyDescent="0.25">
      <c r="A48" t="s">
        <v>43</v>
      </c>
      <c r="B48">
        <v>18</v>
      </c>
      <c r="C48">
        <v>27</v>
      </c>
      <c r="D48">
        <v>64</v>
      </c>
      <c r="E48">
        <v>3</v>
      </c>
      <c r="F48">
        <v>5</v>
      </c>
      <c r="G48">
        <v>0</v>
      </c>
      <c r="H48">
        <v>4</v>
      </c>
      <c r="I48">
        <v>0</v>
      </c>
    </row>
    <row r="49" spans="1:9" x14ac:dyDescent="0.25">
      <c r="A49" t="s">
        <v>44</v>
      </c>
      <c r="B49">
        <v>16</v>
      </c>
      <c r="C49">
        <v>29</v>
      </c>
      <c r="D49">
        <v>66</v>
      </c>
      <c r="E49">
        <v>3</v>
      </c>
      <c r="F49">
        <v>3</v>
      </c>
      <c r="G49">
        <v>0</v>
      </c>
      <c r="H49">
        <v>2</v>
      </c>
      <c r="I49">
        <v>0</v>
      </c>
    </row>
    <row r="50" spans="1:9" x14ac:dyDescent="0.25">
      <c r="A50" t="s">
        <v>45</v>
      </c>
      <c r="B50">
        <v>22</v>
      </c>
      <c r="C50">
        <v>27</v>
      </c>
      <c r="D50">
        <v>36</v>
      </c>
      <c r="E50">
        <v>3</v>
      </c>
      <c r="F50">
        <v>2</v>
      </c>
      <c r="G50">
        <v>0</v>
      </c>
      <c r="H50">
        <v>2</v>
      </c>
      <c r="I50"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FF2107-6269-4C13-A6B3-D93C1442A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Raza</dc:creator>
  <cp:lastModifiedBy>Saqib Raza</cp:lastModifiedBy>
  <dcterms:created xsi:type="dcterms:W3CDTF">2026-06-26T18:48:00Z</dcterms:created>
  <dcterms:modified xsi:type="dcterms:W3CDTF">2026-06-26T21:45:52Z</dcterms:modified>
</cp:coreProperties>
</file>